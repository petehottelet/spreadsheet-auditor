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Spreadsheet Auditor</author>
  </authors>
  <commentList>
    <comment ref="B6" authorId="0" shapeId="0">
      <text>
        <t>High FORMULA_DRIFT
Formula breaks neighboring pattern
Fix: If this cell is the same kind of line as its neighbors, restore their pattern. A total, net or summary line differs by design: compare it with the other totals instead.
High TOTAL_MISMATCH
Total double-counts a cell inside its own range
Fix: Remove the duplicated term or shrink the range so each component is counted once.</t>
      </text>
    </comment>
    <comment ref="E6" authorId="0" shapeId="0">
      <text>
        <t>Critical CROSS_FOOT_FAILURE
Row totals and column totals disagree
Fix: Reconcile the totals row and totals column; one of the contributing aggregates is likely wrong.
High FORMULA_DRIFT
Formula breaks neighboring pattern
Fix: If this cell is the same kind of line as its neighbors, restore their pattern. A total, net or summary line differs by design: compare it with the other totals instead.</t>
      </text>
    </comment>
    <comment ref="E9" authorId="0" shapeId="0">
      <text>
        <t>High HARDCODE_IN_FORMULA_BLOCK
Hardcoded value inside formula block
Fix: Confirm whether this is an intentional plug. If not, restore the formula pattern.</t>
      </text>
    </comment>
    <comment ref="B10" authorId="0" shapeId="0">
      <text>
        <t>Critical RANGE_EXCLUSION
Aggregation range appears to exclude adjacent data row
Fix: Confirm whether Budget!B9 belongs in the aggregate, then extend the range if appropriate.
High FORMULA_DRIFT
Formula breaks neighboring pattern
Fix: If this cell is the same kind of line as its neighbors, restore their pattern. A total, net or summary line differs by design: compare it with the other totals instead.</t>
      </text>
    </comment>
    <comment ref="B13" authorId="0" shapeId="0">
      <text>
        <t>Medium HIDDEN_STRUCTURE_IN_TOTAL
Formula inputs include hidden structure
Fix: Confirm hidden inputs are intentional and disclosed in visible workbook documentation.</t>
      </text>
    </comment>
    <comment ref="B14" authorId="0" shapeId="0">
      <text>
        <t>Critical LIVE_ERROR
Cell contains live spreadsheet error
Fix: Trace the formula precedent chain and resolve the underlying spreadsheet error.
High BROKEN_REFERENCE
Formula contains deleted reference
Fix: Restore the deleted reference or rebuild the formula from intended source cells.</t>
      </text>
    </comment>
    <comment ref="A17" authorId="0" shapeId="0">
      <text>
        <t>Medium DUPLICATE_KEY
Duplicate key in lookup range
Fix: Make the keys unique or confirm the lookup is meant to return the first match.
The same issue is in 1 other cell(s); fixing it here usually fixes them.</t>
      </text>
    </comment>
    <comment ref="A18" authorId="0" shapeId="0">
      <text>
        <t>Medium DUPLICATE_KEY
Same issue as Budget!A17, Budget!A18; see the comment there.
Medium WHITESPACE_KEY
Text has leading or trailing whitespace
Fix: Trim the values if they are used as lookup keys or labels.</t>
      </text>
    </comment>
    <comment ref="B20" authorId="0" shapeId="0">
      <text>
        <t>High NUMBERS_STORED_AS_TEXT
Numeric-looking value stored as text
Fix: Convert the values to numbers or confirm they are intentionally text.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Q1 total</t>
        </is>
      </c>
    </row>
    <row r="2">
      <c r="A2" t="inlineStr">
        <is>
          <t>Subscriptions</t>
        </is>
      </c>
      <c r="B2" t="n">
        <v>1200</v>
      </c>
      <c r="C2" t="n">
        <v>1320</v>
      </c>
      <c r="D2" t="n">
        <v>1450</v>
      </c>
      <c r="E2">
        <f>SUM(B2:D2)</f>
        <v/>
      </c>
    </row>
    <row r="3">
      <c r="A3" t="inlineStr">
        <is>
          <t>Services</t>
        </is>
      </c>
      <c r="B3" t="n">
        <v>800</v>
      </c>
      <c r="C3" t="n">
        <v>820</v>
      </c>
      <c r="D3" t="n">
        <v>900</v>
      </c>
      <c r="E3">
        <f>SUM(B3:D3)</f>
        <v/>
      </c>
    </row>
    <row r="4">
      <c r="A4" t="inlineStr">
        <is>
          <t>Subtotal</t>
        </is>
      </c>
      <c r="B4">
        <f>SUM(B2:B3)</f>
        <v/>
      </c>
      <c r="C4">
        <f>SUM(C2:C3)</f>
        <v/>
      </c>
      <c r="D4">
        <f>SUM(D2:D3)</f>
        <v/>
      </c>
      <c r="E4">
        <f>SUM(B4:D4)</f>
        <v/>
      </c>
    </row>
    <row r="5">
      <c r="A5" t="inlineStr">
        <is>
          <t>Other revenue</t>
        </is>
      </c>
      <c r="B5" t="n">
        <v>150</v>
      </c>
      <c r="C5" t="n">
        <v>175</v>
      </c>
      <c r="D5" t="n">
        <v>200</v>
      </c>
      <c r="E5">
        <f>SUM(B5:D5)</f>
        <v/>
      </c>
    </row>
    <row r="6">
      <c r="A6" t="inlineStr">
        <is>
          <t>Revenue total</t>
        </is>
      </c>
      <c r="B6">
        <f>SUM(B4:B5)+B5</f>
        <v/>
      </c>
      <c r="C6">
        <f>SUM(C4:C5)</f>
        <v/>
      </c>
      <c r="D6">
        <f>SUM(D4:D5)</f>
        <v/>
      </c>
      <c r="E6">
        <f>SUM(B6:C6)</f>
        <v/>
      </c>
    </row>
    <row r="7">
      <c r="A7" t="inlineStr">
        <is>
          <t>Hosting</t>
        </is>
      </c>
      <c r="B7" t="n">
        <v>200</v>
      </c>
      <c r="C7" t="n">
        <v>210</v>
      </c>
      <c r="D7" t="n">
        <v>220</v>
      </c>
      <c r="E7">
        <f>SUM(B7:D7)</f>
        <v/>
      </c>
    </row>
    <row r="8">
      <c r="A8" t="inlineStr">
        <is>
          <t>Support staff</t>
        </is>
      </c>
      <c r="B8" t="n">
        <v>600</v>
      </c>
      <c r="C8" t="n">
        <v>620</v>
      </c>
      <c r="D8" t="n">
        <v>640</v>
      </c>
      <c r="E8">
        <f>SUM(B8:D8)</f>
        <v/>
      </c>
    </row>
    <row r="9">
      <c r="A9" t="inlineStr">
        <is>
          <t>Marketing</t>
        </is>
      </c>
      <c r="B9" t="n">
        <v>300</v>
      </c>
      <c r="C9" t="n">
        <v>320</v>
      </c>
      <c r="D9" t="n">
        <v>340</v>
      </c>
      <c r="E9" t="n">
        <v>999</v>
      </c>
    </row>
    <row r="10">
      <c r="A10" t="inlineStr">
        <is>
          <t>COGS total</t>
        </is>
      </c>
      <c r="B10">
        <f>SUM(B7:B8)</f>
        <v/>
      </c>
      <c r="C10">
        <f>SUM(C7:C9)</f>
        <v/>
      </c>
      <c r="D10">
        <f>SUM(D7:D9)</f>
        <v/>
      </c>
      <c r="E10">
        <f>SUM(B10:D10)</f>
        <v/>
      </c>
    </row>
    <row r="11">
      <c r="A11" t="inlineStr">
        <is>
          <t>Net</t>
        </is>
      </c>
      <c r="B11">
        <f>B6-B10</f>
        <v/>
      </c>
      <c r="C11">
        <f>C6-C10</f>
        <v/>
      </c>
      <c r="D11">
        <f>D6-D10</f>
        <v/>
      </c>
      <c r="E11">
        <f>SUM(B11:D11)</f>
        <v/>
      </c>
    </row>
    <row r="12" hidden="1">
      <c r="A12" t="inlineStr">
        <is>
          <t>Adjustment (hidden)</t>
        </is>
      </c>
      <c r="B12" t="n">
        <v>50</v>
      </c>
      <c r="C12" t="n">
        <v>60</v>
      </c>
      <c r="D12" t="n">
        <v>70</v>
      </c>
      <c r="E12">
        <f>SUM(B12:D12)</f>
        <v/>
      </c>
    </row>
    <row r="13">
      <c r="A13" t="inlineStr">
        <is>
          <t>With adjustment</t>
        </is>
      </c>
      <c r="B13">
        <f>B11+B12</f>
        <v/>
      </c>
      <c r="C13">
        <f>C11+C12</f>
        <v/>
      </c>
      <c r="D13">
        <f>D11+D12</f>
        <v/>
      </c>
      <c r="E13">
        <f>SUM(B13:D13)</f>
        <v/>
      </c>
    </row>
    <row r="14">
      <c r="A14" t="inlineStr">
        <is>
          <t>Stale link</t>
        </is>
      </c>
      <c r="B14">
        <f>SUM(#REF!)</f>
        <v/>
      </c>
    </row>
    <row r="16">
      <c r="A16" t="inlineStr">
        <is>
          <t>Region</t>
        </is>
      </c>
      <c r="B16" t="inlineStr">
        <is>
          <t>Owner</t>
        </is>
      </c>
    </row>
    <row r="17">
      <c r="A17" t="inlineStr">
        <is>
          <t>North</t>
        </is>
      </c>
      <c r="B17" t="inlineStr">
        <is>
          <t>Alex</t>
        </is>
      </c>
    </row>
    <row r="18">
      <c r="A18" t="inlineStr">
        <is>
          <t xml:space="preserve"> North </t>
        </is>
      </c>
      <c r="B18" t="inlineStr">
        <is>
          <t>Sam</t>
        </is>
      </c>
    </row>
    <row r="19">
      <c r="A19" t="inlineStr">
        <is>
          <t>South</t>
        </is>
      </c>
      <c r="B19" t="inlineStr">
        <is>
          <t>Jess</t>
        </is>
      </c>
    </row>
    <row r="20">
      <c r="A20" t="inlineStr">
        <is>
          <t>Bonus pool</t>
        </is>
      </c>
      <c r="B20" t="inlineStr">
        <is>
          <t>1,250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Headline KPI</t>
        </is>
      </c>
      <c r="B1" t="inlineStr">
        <is>
          <t>Total revenue</t>
        </is>
      </c>
      <c r="C1">
        <f>Budget!B6</f>
        <v/>
      </c>
    </row>
    <row r="2">
      <c r="A2" t="inlineStr">
        <is>
          <t>Owner lookup</t>
        </is>
      </c>
      <c r="B2" t="inlineStr">
        <is>
          <t>North</t>
        </is>
      </c>
      <c r="C2">
        <f>VLOOKUP(B2,Budget!A17:B19,2,FALSE)</f>
        <v/>
      </c>
    </row>
    <row r="3">
      <c r="A3" t="inlineStr">
        <is>
          <t>Bonus accrual</t>
        </is>
      </c>
      <c r="B3" t="inlineStr">
        <is>
          <t>Pool</t>
        </is>
      </c>
      <c r="C3">
        <f>SUM(Budget!B20:B20)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2026-10-01T04:14:11Z</dcterms:created>
  <dcterms:modified xsi:type="dcterms:W3CDTF">2026-10-01T04:14:12Z</dcterms:modified>
</cp:coreProperties>
</file>